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d828a39feb6286/Documents/"/>
    </mc:Choice>
  </mc:AlternateContent>
  <xr:revisionPtr revIDLastSave="21" documentId="8_{660A9B66-CF63-4AA7-BB22-F6890FC8163B}" xr6:coauthVersionLast="47" xr6:coauthVersionMax="47" xr10:uidLastSave="{1CAA3D45-A396-4753-907E-55CFE372A8E4}"/>
  <bookViews>
    <workbookView xWindow="-28920" yWindow="-105" windowWidth="29040" windowHeight="15720" xr2:uid="{F6262D18-26D7-486F-B360-E784178001AA}"/>
  </bookViews>
  <sheets>
    <sheet name="Протокол" sheetId="1" r:id="rId1"/>
    <sheet name="Проверк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2" l="1" a="1"/>
  <c r="C22" i="2" s="1"/>
  <c r="C15" i="2" a="1"/>
  <c r="C15" i="2" s="1"/>
  <c r="C19" i="2"/>
  <c r="C18" i="2"/>
  <c r="C14" i="2"/>
  <c r="C11" i="2"/>
  <c r="C10" i="2"/>
  <c r="C7" i="2"/>
  <c r="C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<sst xmlns="http://schemas.openxmlformats.org/spreadsheetml/2006/main" count="223" uniqueCount="132">
  <si>
    <t>А</t>
  </si>
  <si>
    <t>Б</t>
  </si>
  <si>
    <t>Данни за брой гласували от избирателния списък</t>
  </si>
  <si>
    <t>Преброяване на гласовете от хартиените бюлетини</t>
  </si>
  <si>
    <t>т.1</t>
  </si>
  <si>
    <t>т.2</t>
  </si>
  <si>
    <t>т.3</t>
  </si>
  <si>
    <t>т.4</t>
  </si>
  <si>
    <t>т.5</t>
  </si>
  <si>
    <t>т.6</t>
  </si>
  <si>
    <t>т.7</t>
  </si>
  <si>
    <t>т.8</t>
  </si>
  <si>
    <t>т.9</t>
  </si>
  <si>
    <t>Партия 1</t>
  </si>
  <si>
    <t>Партия 2</t>
  </si>
  <si>
    <t>Партия 3</t>
  </si>
  <si>
    <t>Партия 4</t>
  </si>
  <si>
    <t>Партия 5</t>
  </si>
  <si>
    <t>Партия 6</t>
  </si>
  <si>
    <t>Партия 7</t>
  </si>
  <si>
    <t>Партия 8</t>
  </si>
  <si>
    <t>Партия 9</t>
  </si>
  <si>
    <t>Партия 10</t>
  </si>
  <si>
    <t>Партия 11</t>
  </si>
  <si>
    <t>Партия 12</t>
  </si>
  <si>
    <t>Партия 13</t>
  </si>
  <si>
    <t>Партия 14</t>
  </si>
  <si>
    <t>Партия 15</t>
  </si>
  <si>
    <t>Партия 16</t>
  </si>
  <si>
    <t>Партия 17</t>
  </si>
  <si>
    <t>Партия 18</t>
  </si>
  <si>
    <t>Партия 19</t>
  </si>
  <si>
    <t>Партия 20</t>
  </si>
  <si>
    <t>Партия 21</t>
  </si>
  <si>
    <t>Партия 22</t>
  </si>
  <si>
    <t>Партия 23</t>
  </si>
  <si>
    <t>Партия 24</t>
  </si>
  <si>
    <t>т.11</t>
  </si>
  <si>
    <t>т.12</t>
  </si>
  <si>
    <t>Машинно гласуване</t>
  </si>
  <si>
    <t>Хартиени бюлетини</t>
  </si>
  <si>
    <t>т.13</t>
  </si>
  <si>
    <t>т.14</t>
  </si>
  <si>
    <t>Брой получени бюлетини</t>
  </si>
  <si>
    <t>Брой избиратели под черта</t>
  </si>
  <si>
    <t>Брой гласували според подписите в двата списъка</t>
  </si>
  <si>
    <t>Брой неизползвани хартиени бюлетини</t>
  </si>
  <si>
    <t>Брой недействителни бюлетини (невлизали в кутията)</t>
  </si>
  <si>
    <t>Общ брой бюлетини в кутията</t>
  </si>
  <si>
    <t>Без</t>
  </si>
  <si>
    <t>т.15 Преференци</t>
  </si>
  <si>
    <t>т.10 Преференци</t>
  </si>
  <si>
    <t>Тази таблица не изчислява сумите и не проверява за грешки. Тя само съдържа информацията копирана от протокола Ви, която се проверява в таба "Проверки" на този файл.</t>
  </si>
  <si>
    <t>Тук можете да проверите попълнените от вас данни в протокола за очакваните от ЦИК контроли</t>
  </si>
  <si>
    <r>
      <rPr>
        <b/>
        <sz val="11"/>
        <color theme="1"/>
        <rFont val="Aptos Narrow"/>
        <family val="2"/>
        <scheme val="minor"/>
      </rPr>
      <t xml:space="preserve">Инструкции: </t>
    </r>
    <r>
      <rPr>
        <sz val="11"/>
        <color theme="1"/>
        <rFont val="Aptos Narrow"/>
        <family val="2"/>
        <scheme val="minor"/>
      </rPr>
      <t>Попълнете всяка зелена клетка и оставете празни или с нула тези кито не участват</t>
    </r>
  </si>
  <si>
    <t>Общ брой действителни гласове с машина</t>
  </si>
  <si>
    <t>Брой бюлетини с "Не подкрепям никого"</t>
  </si>
  <si>
    <t>Брой получени бюлетини в предизборния ден</t>
  </si>
  <si>
    <t>Брой на избирателите в избирателния списък при предаването му на СИК</t>
  </si>
  <si>
    <t>Хартиени бюлетини извън избирателната кутия</t>
  </si>
  <si>
    <t>ЧАСТ І</t>
  </si>
  <si>
    <t>ЧАСТ ІІ</t>
  </si>
  <si>
    <t>Брой на недействителните бюлетини в кутията</t>
  </si>
  <si>
    <t>Брой гласове по партии (общо) в хартиените бюлетини</t>
  </si>
  <si>
    <t>Общ брой действителни гласове на хартия</t>
  </si>
  <si>
    <t>Брой гласове по партии (общо) с машина</t>
  </si>
  <si>
    <r>
      <rPr>
        <b/>
        <sz val="11"/>
        <color theme="1"/>
        <rFont val="Aptos Narrow"/>
        <family val="2"/>
        <scheme val="minor"/>
      </rPr>
      <t xml:space="preserve">Инструкции: </t>
    </r>
    <r>
      <rPr>
        <sz val="11"/>
        <color theme="1"/>
        <rFont val="Aptos Narrow"/>
        <family val="2"/>
        <scheme val="minor"/>
      </rPr>
      <t>След като попълните таб "Протокол", всяка от контролите трябва да показва "ОК". В противен случай прегледайте клетките описани на същия ред.</t>
    </r>
  </si>
  <si>
    <t>Контрола</t>
  </si>
  <si>
    <t>Формула</t>
  </si>
  <si>
    <t>Резултат</t>
  </si>
  <si>
    <t>1. Контроли за броя на гласувалите (ЧАСТ I)</t>
  </si>
  <si>
    <t>Гласували ≤ имащи право да гласуват</t>
  </si>
  <si>
    <t>т.2 ≤ (Б + т.1)</t>
  </si>
  <si>
    <t>Гласували = всички намерени бюлетини</t>
  </si>
  <si>
    <t>т.2 = т.5 + т.11</t>
  </si>
  <si>
    <t>2. Контроли за хартиени бюлетини – количествен баланс</t>
  </si>
  <si>
    <t>Получени = неизползвани + унищожени + в кутията</t>
  </si>
  <si>
    <t>А = т.3 + т.4 + т.5</t>
  </si>
  <si>
    <t>Бюлетини в кутията = разпределени</t>
  </si>
  <si>
    <t>т.5 = т.6 + т.7 + т.9</t>
  </si>
  <si>
    <t>3. Контроли за действителни гласове от хартиени бюлетини</t>
  </si>
  <si>
    <t>Сбор по партии = общо действителни (хартия)</t>
  </si>
  <si>
    <t>т.9 = Σ(т.8)</t>
  </si>
  <si>
    <t>т.8(X) = Σ(т.10 за X)</t>
  </si>
  <si>
    <t>4. Контроли за бюлетини от машинно гласуване</t>
  </si>
  <si>
    <t>Машинни бюлетини = "Не подкрепям" + действителни</t>
  </si>
  <si>
    <t>т.11 = т.12 + т.14</t>
  </si>
  <si>
    <t>Сбор по партии = общо действителни (машина)</t>
  </si>
  <si>
    <t>т.14 = Σ(т.13)</t>
  </si>
  <si>
    <t>5. Контроли за преференции от машинно гласуване</t>
  </si>
  <si>
    <t>Преференции = гласове за партията (машина)</t>
  </si>
  <si>
    <t>т.13(X) = Σ(т.15 за X)</t>
  </si>
  <si>
    <t>Преференции = гласове за партията (хартия) - Общо</t>
  </si>
  <si>
    <t>Референция към клетките в таб 'Протокол':</t>
  </si>
  <si>
    <t>Параметър</t>
  </si>
  <si>
    <t>Клетка</t>
  </si>
  <si>
    <t>Описание</t>
  </si>
  <si>
    <t>B5</t>
  </si>
  <si>
    <t>B6</t>
  </si>
  <si>
    <t>Брой избиратели в списъка</t>
  </si>
  <si>
    <t>B8</t>
  </si>
  <si>
    <t>Избиратели под черта</t>
  </si>
  <si>
    <t>B9</t>
  </si>
  <si>
    <t>Брой гласували</t>
  </si>
  <si>
    <t>B11</t>
  </si>
  <si>
    <t>Неизползвани бюлетини</t>
  </si>
  <si>
    <t>B12</t>
  </si>
  <si>
    <t>Унищожени бюлетини</t>
  </si>
  <si>
    <t>B16</t>
  </si>
  <si>
    <t>B17</t>
  </si>
  <si>
    <t>Недействителни в кутията</t>
  </si>
  <si>
    <t>B18</t>
  </si>
  <si>
    <t>Не подкрепям никого (хартия)</t>
  </si>
  <si>
    <t>C20:C43</t>
  </si>
  <si>
    <t>Гласове по партии (хартия)</t>
  </si>
  <si>
    <t>B44</t>
  </si>
  <si>
    <t>Общо действителни (хартия)</t>
  </si>
  <si>
    <t>т.10</t>
  </si>
  <si>
    <t>C46:AG69</t>
  </si>
  <si>
    <t>Преференции по партии (хартия)</t>
  </si>
  <si>
    <t>B71</t>
  </si>
  <si>
    <t>Общ брой машинни бюлетини</t>
  </si>
  <si>
    <t>B72</t>
  </si>
  <si>
    <t>Не подкрепям никого (машина)</t>
  </si>
  <si>
    <t>C74:C97</t>
  </si>
  <si>
    <t>Гласове по партии (машина)</t>
  </si>
  <si>
    <t>B98</t>
  </si>
  <si>
    <t>Общо действителни (машина)</t>
  </si>
  <si>
    <t>т.15</t>
  </si>
  <si>
    <t>C100:AG123</t>
  </si>
  <si>
    <t>Преференции по партии (машина)</t>
  </si>
  <si>
    <t>Ако Вашата секция има само хартиено гласуване, попълнете точките до 10 и оставете по-долните празни.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</si>
</sst>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0" borderId="1" xfId="0" applyBorder="1"/>
    <xf numFmtId="0" fontId="3" fillId="4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0" borderId="0" xfId="0" applyAlignment="1">
      <alignment horizontal="right"/>
    </xf>
    <xf numFmtId="0" fontId="0" fillId="2" borderId="0" xfId="0" applyFill="1" applyProtection="1">
      <protection locked="0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5216-2B5B-4C39-A764-685A1CE7A607}">
  <dimension ref="A1:AG124"/>
  <sheetViews>
    <sheetView tabSelected="1" workbookViewId="0">
      <selection activeCell="B6" sqref="B6"/>
    </sheetView>
  </sheetViews>
  <sheetFormatPr defaultRowHeight="15" x14ac:dyDescent="0.25"/>
  <cols>
    <col min="2" max="2" width="8.85546875" customWidth="1"/>
  </cols>
  <sheetData>
    <row r="1" spans="1:19" x14ac:dyDescent="0.25">
      <c r="A1" s="13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4" t="s">
        <v>54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x14ac:dyDescent="0.25">
      <c r="A3" s="2" t="s">
        <v>131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 t="s">
        <v>60</v>
      </c>
    </row>
    <row r="6" spans="1:19" x14ac:dyDescent="0.25">
      <c r="A6" t="s">
        <v>0</v>
      </c>
      <c r="B6" s="12"/>
      <c r="C6" t="s">
        <v>57</v>
      </c>
    </row>
    <row r="7" spans="1:19" x14ac:dyDescent="0.25">
      <c r="A7" t="s">
        <v>1</v>
      </c>
      <c r="B7" s="12"/>
      <c r="C7" t="s">
        <v>58</v>
      </c>
    </row>
    <row r="8" spans="1:19" x14ac:dyDescent="0.25">
      <c r="A8" t="s">
        <v>2</v>
      </c>
    </row>
    <row r="9" spans="1:19" x14ac:dyDescent="0.25">
      <c r="A9" t="s">
        <v>4</v>
      </c>
      <c r="B9" s="12"/>
      <c r="C9" t="s">
        <v>44</v>
      </c>
    </row>
    <row r="10" spans="1:19" x14ac:dyDescent="0.25">
      <c r="A10" t="s">
        <v>5</v>
      </c>
      <c r="B10" s="12"/>
      <c r="C10" t="s">
        <v>45</v>
      </c>
    </row>
    <row r="11" spans="1:19" x14ac:dyDescent="0.25">
      <c r="A11" t="s">
        <v>59</v>
      </c>
    </row>
    <row r="12" spans="1:19" x14ac:dyDescent="0.25">
      <c r="A12" t="s">
        <v>6</v>
      </c>
      <c r="B12" s="12"/>
      <c r="C12" t="s">
        <v>46</v>
      </c>
    </row>
    <row r="13" spans="1:19" x14ac:dyDescent="0.25">
      <c r="A13" t="s">
        <v>7</v>
      </c>
      <c r="B13" s="12"/>
      <c r="C13" t="s">
        <v>47</v>
      </c>
    </row>
    <row r="14" spans="1:19" x14ac:dyDescent="0.25">
      <c r="A14" s="1" t="s">
        <v>61</v>
      </c>
    </row>
    <row r="15" spans="1:19" x14ac:dyDescent="0.25">
      <c r="A15" s="1" t="s">
        <v>40</v>
      </c>
      <c r="B15" s="1"/>
    </row>
    <row r="16" spans="1:19" x14ac:dyDescent="0.25">
      <c r="A16" t="s">
        <v>3</v>
      </c>
    </row>
    <row r="17" spans="1:3" x14ac:dyDescent="0.25">
      <c r="A17" t="s">
        <v>8</v>
      </c>
      <c r="B17" s="12"/>
      <c r="C17" t="s">
        <v>48</v>
      </c>
    </row>
    <row r="18" spans="1:3" x14ac:dyDescent="0.25">
      <c r="A18" t="s">
        <v>9</v>
      </c>
      <c r="B18" s="12"/>
      <c r="C18" t="s">
        <v>62</v>
      </c>
    </row>
    <row r="19" spans="1:3" x14ac:dyDescent="0.25">
      <c r="A19" t="s">
        <v>10</v>
      </c>
      <c r="B19" s="12"/>
      <c r="C19" t="s">
        <v>56</v>
      </c>
    </row>
    <row r="20" spans="1:3" x14ac:dyDescent="0.25">
      <c r="A20" t="s">
        <v>11</v>
      </c>
      <c r="B20" t="s">
        <v>63</v>
      </c>
    </row>
    <row r="21" spans="1:3" x14ac:dyDescent="0.25">
      <c r="B21" s="11" t="s">
        <v>13</v>
      </c>
      <c r="C21" s="12"/>
    </row>
    <row r="22" spans="1:3" x14ac:dyDescent="0.25">
      <c r="B22" s="11" t="s">
        <v>14</v>
      </c>
      <c r="C22" s="12"/>
    </row>
    <row r="23" spans="1:3" x14ac:dyDescent="0.25">
      <c r="B23" s="11" t="s">
        <v>15</v>
      </c>
      <c r="C23" s="12"/>
    </row>
    <row r="24" spans="1:3" x14ac:dyDescent="0.25">
      <c r="B24" s="11" t="s">
        <v>16</v>
      </c>
      <c r="C24" s="12"/>
    </row>
    <row r="25" spans="1:3" x14ac:dyDescent="0.25">
      <c r="B25" s="11" t="s">
        <v>17</v>
      </c>
      <c r="C25" s="12"/>
    </row>
    <row r="26" spans="1:3" x14ac:dyDescent="0.25">
      <c r="B26" s="11" t="s">
        <v>18</v>
      </c>
      <c r="C26" s="12"/>
    </row>
    <row r="27" spans="1:3" x14ac:dyDescent="0.25">
      <c r="B27" s="11" t="s">
        <v>19</v>
      </c>
      <c r="C27" s="12"/>
    </row>
    <row r="28" spans="1:3" x14ac:dyDescent="0.25">
      <c r="B28" s="11" t="s">
        <v>20</v>
      </c>
      <c r="C28" s="12"/>
    </row>
    <row r="29" spans="1:3" x14ac:dyDescent="0.25">
      <c r="B29" s="11" t="s">
        <v>21</v>
      </c>
      <c r="C29" s="12"/>
    </row>
    <row r="30" spans="1:3" x14ac:dyDescent="0.25">
      <c r="B30" s="11" t="s">
        <v>22</v>
      </c>
      <c r="C30" s="12"/>
    </row>
    <row r="31" spans="1:3" x14ac:dyDescent="0.25">
      <c r="B31" s="11" t="s">
        <v>23</v>
      </c>
      <c r="C31" s="12"/>
    </row>
    <row r="32" spans="1:3" x14ac:dyDescent="0.25">
      <c r="B32" s="11" t="s">
        <v>24</v>
      </c>
      <c r="C32" s="12"/>
    </row>
    <row r="33" spans="1:33" x14ac:dyDescent="0.25">
      <c r="B33" s="11" t="s">
        <v>25</v>
      </c>
      <c r="C33" s="12"/>
    </row>
    <row r="34" spans="1:33" x14ac:dyDescent="0.25">
      <c r="B34" s="11" t="s">
        <v>26</v>
      </c>
      <c r="C34" s="12"/>
    </row>
    <row r="35" spans="1:33" x14ac:dyDescent="0.25">
      <c r="B35" s="11" t="s">
        <v>27</v>
      </c>
      <c r="C35" s="12"/>
    </row>
    <row r="36" spans="1:33" x14ac:dyDescent="0.25">
      <c r="B36" s="11" t="s">
        <v>28</v>
      </c>
      <c r="C36" s="12"/>
    </row>
    <row r="37" spans="1:33" x14ac:dyDescent="0.25">
      <c r="B37" s="11" t="s">
        <v>29</v>
      </c>
      <c r="C37" s="12"/>
    </row>
    <row r="38" spans="1:33" x14ac:dyDescent="0.25">
      <c r="B38" s="11" t="s">
        <v>30</v>
      </c>
      <c r="C38" s="12"/>
    </row>
    <row r="39" spans="1:33" x14ac:dyDescent="0.25">
      <c r="B39" s="11" t="s">
        <v>31</v>
      </c>
      <c r="C39" s="12"/>
    </row>
    <row r="40" spans="1:33" x14ac:dyDescent="0.25">
      <c r="B40" s="11" t="s">
        <v>32</v>
      </c>
      <c r="C40" s="12"/>
    </row>
    <row r="41" spans="1:33" x14ac:dyDescent="0.25">
      <c r="B41" s="11" t="s">
        <v>33</v>
      </c>
      <c r="C41" s="12"/>
    </row>
    <row r="42" spans="1:33" x14ac:dyDescent="0.25">
      <c r="B42" s="11" t="s">
        <v>34</v>
      </c>
      <c r="C42" s="12"/>
    </row>
    <row r="43" spans="1:33" x14ac:dyDescent="0.25">
      <c r="B43" s="11" t="s">
        <v>35</v>
      </c>
      <c r="C43" s="12"/>
    </row>
    <row r="44" spans="1:33" x14ac:dyDescent="0.25">
      <c r="B44" s="11" t="s">
        <v>36</v>
      </c>
      <c r="C44" s="12"/>
    </row>
    <row r="45" spans="1:33" x14ac:dyDescent="0.25">
      <c r="A45" t="s">
        <v>12</v>
      </c>
      <c r="B45" s="12"/>
      <c r="C45" t="s">
        <v>64</v>
      </c>
    </row>
    <row r="46" spans="1:33" x14ac:dyDescent="0.25">
      <c r="A46" t="s">
        <v>51</v>
      </c>
      <c r="C46">
        <v>101</v>
      </c>
      <c r="D46">
        <v>102</v>
      </c>
      <c r="E46">
        <v>103</v>
      </c>
      <c r="F46">
        <v>104</v>
      </c>
      <c r="G46">
        <v>105</v>
      </c>
      <c r="H46">
        <v>106</v>
      </c>
      <c r="I46">
        <v>107</v>
      </c>
      <c r="J46">
        <v>108</v>
      </c>
      <c r="K46">
        <v>109</v>
      </c>
      <c r="L46">
        <v>110</v>
      </c>
      <c r="M46">
        <v>111</v>
      </c>
      <c r="N46">
        <v>112</v>
      </c>
      <c r="O46">
        <v>113</v>
      </c>
      <c r="P46">
        <v>114</v>
      </c>
      <c r="Q46">
        <v>115</v>
      </c>
      <c r="R46">
        <v>116</v>
      </c>
      <c r="S46">
        <v>117</v>
      </c>
      <c r="T46">
        <v>118</v>
      </c>
      <c r="U46">
        <v>119</v>
      </c>
      <c r="V46">
        <v>120</v>
      </c>
      <c r="W46">
        <v>121</v>
      </c>
      <c r="X46">
        <v>122</v>
      </c>
      <c r="Y46">
        <v>123</v>
      </c>
      <c r="Z46">
        <v>124</v>
      </c>
      <c r="AA46">
        <v>125</v>
      </c>
      <c r="AB46">
        <v>126</v>
      </c>
      <c r="AC46">
        <v>127</v>
      </c>
      <c r="AD46">
        <v>128</v>
      </c>
      <c r="AE46">
        <v>129</v>
      </c>
      <c r="AF46">
        <v>130</v>
      </c>
      <c r="AG46" t="s">
        <v>49</v>
      </c>
    </row>
    <row r="47" spans="1:33" x14ac:dyDescent="0.25">
      <c r="B47" s="11" t="s">
        <v>13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 x14ac:dyDescent="0.25">
      <c r="B48" s="11" t="s">
        <v>14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2:33" x14ac:dyDescent="0.25">
      <c r="B49" s="11" t="s">
        <v>15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2:33" x14ac:dyDescent="0.25">
      <c r="B50" s="11" t="s">
        <v>16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2:33" x14ac:dyDescent="0.25">
      <c r="B51" s="11" t="s">
        <v>17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2:33" x14ac:dyDescent="0.25">
      <c r="B52" s="11" t="s">
        <v>18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2:33" x14ac:dyDescent="0.25">
      <c r="B53" s="11" t="s">
        <v>19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2:33" x14ac:dyDescent="0.25">
      <c r="B54" s="11" t="s">
        <v>20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2:33" x14ac:dyDescent="0.25">
      <c r="B55" s="11" t="s">
        <v>21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2:33" x14ac:dyDescent="0.25">
      <c r="B56" s="11" t="s">
        <v>22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2:33" x14ac:dyDescent="0.25">
      <c r="B57" s="11" t="s">
        <v>23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2:33" x14ac:dyDescent="0.25">
      <c r="B58" s="11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2:33" x14ac:dyDescent="0.25">
      <c r="B59" s="11" t="s">
        <v>25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2:33" x14ac:dyDescent="0.25">
      <c r="B60" s="11" t="s">
        <v>26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2:33" x14ac:dyDescent="0.25">
      <c r="B61" s="11" t="s">
        <v>27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2:33" x14ac:dyDescent="0.25">
      <c r="B62" s="11" t="s">
        <v>28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2:33" x14ac:dyDescent="0.25">
      <c r="B63" s="11" t="s">
        <v>29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2:33" x14ac:dyDescent="0.25">
      <c r="B64" s="11" t="s">
        <v>30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 x14ac:dyDescent="0.25">
      <c r="B65" s="11" t="s">
        <v>31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x14ac:dyDescent="0.25">
      <c r="B66" s="11" t="s">
        <v>32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x14ac:dyDescent="0.25">
      <c r="B67" s="11" t="s">
        <v>33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x14ac:dyDescent="0.25">
      <c r="B68" s="11" t="s">
        <v>34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x14ac:dyDescent="0.25">
      <c r="B69" s="11" t="s">
        <v>35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x14ac:dyDescent="0.25">
      <c r="B70" s="11" t="s">
        <v>36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x14ac:dyDescent="0.25">
      <c r="A71" s="1" t="s">
        <v>39</v>
      </c>
    </row>
    <row r="72" spans="1:33" x14ac:dyDescent="0.25">
      <c r="A72" t="s">
        <v>37</v>
      </c>
      <c r="B72" s="12"/>
      <c r="C72" t="s">
        <v>48</v>
      </c>
    </row>
    <row r="73" spans="1:33" x14ac:dyDescent="0.25">
      <c r="A73" t="s">
        <v>38</v>
      </c>
      <c r="B73" s="12"/>
      <c r="C73" t="s">
        <v>56</v>
      </c>
    </row>
    <row r="74" spans="1:33" x14ac:dyDescent="0.25">
      <c r="A74" t="s">
        <v>41</v>
      </c>
      <c r="B74" t="s">
        <v>65</v>
      </c>
    </row>
    <row r="75" spans="1:33" x14ac:dyDescent="0.25">
      <c r="B75" s="11" t="s">
        <v>13</v>
      </c>
      <c r="C75" s="12"/>
    </row>
    <row r="76" spans="1:33" x14ac:dyDescent="0.25">
      <c r="B76" s="11" t="s">
        <v>14</v>
      </c>
      <c r="C76" s="12"/>
    </row>
    <row r="77" spans="1:33" x14ac:dyDescent="0.25">
      <c r="B77" s="11" t="s">
        <v>15</v>
      </c>
      <c r="C77" s="12"/>
    </row>
    <row r="78" spans="1:33" x14ac:dyDescent="0.25">
      <c r="B78" s="11" t="s">
        <v>16</v>
      </c>
      <c r="C78" s="12"/>
    </row>
    <row r="79" spans="1:33" x14ac:dyDescent="0.25">
      <c r="B79" s="11" t="s">
        <v>17</v>
      </c>
      <c r="C79" s="12"/>
    </row>
    <row r="80" spans="1:33" x14ac:dyDescent="0.25">
      <c r="B80" s="11" t="s">
        <v>18</v>
      </c>
      <c r="C80" s="12"/>
    </row>
    <row r="81" spans="2:3" x14ac:dyDescent="0.25">
      <c r="B81" s="11" t="s">
        <v>19</v>
      </c>
      <c r="C81" s="12"/>
    </row>
    <row r="82" spans="2:3" x14ac:dyDescent="0.25">
      <c r="B82" s="11" t="s">
        <v>20</v>
      </c>
      <c r="C82" s="12"/>
    </row>
    <row r="83" spans="2:3" x14ac:dyDescent="0.25">
      <c r="B83" s="11" t="s">
        <v>21</v>
      </c>
      <c r="C83" s="12"/>
    </row>
    <row r="84" spans="2:3" x14ac:dyDescent="0.25">
      <c r="B84" s="11" t="s">
        <v>22</v>
      </c>
      <c r="C84" s="12"/>
    </row>
    <row r="85" spans="2:3" x14ac:dyDescent="0.25">
      <c r="B85" s="11" t="s">
        <v>23</v>
      </c>
      <c r="C85" s="12"/>
    </row>
    <row r="86" spans="2:3" x14ac:dyDescent="0.25">
      <c r="B86" s="11" t="s">
        <v>24</v>
      </c>
      <c r="C86" s="12"/>
    </row>
    <row r="87" spans="2:3" x14ac:dyDescent="0.25">
      <c r="B87" s="11" t="s">
        <v>25</v>
      </c>
      <c r="C87" s="12"/>
    </row>
    <row r="88" spans="2:3" x14ac:dyDescent="0.25">
      <c r="B88" s="11" t="s">
        <v>26</v>
      </c>
      <c r="C88" s="12"/>
    </row>
    <row r="89" spans="2:3" x14ac:dyDescent="0.25">
      <c r="B89" s="11" t="s">
        <v>27</v>
      </c>
      <c r="C89" s="12"/>
    </row>
    <row r="90" spans="2:3" x14ac:dyDescent="0.25">
      <c r="B90" s="11" t="s">
        <v>28</v>
      </c>
      <c r="C90" s="12"/>
    </row>
    <row r="91" spans="2:3" x14ac:dyDescent="0.25">
      <c r="B91" s="11" t="s">
        <v>29</v>
      </c>
      <c r="C91" s="12"/>
    </row>
    <row r="92" spans="2:3" x14ac:dyDescent="0.25">
      <c r="B92" s="11" t="s">
        <v>30</v>
      </c>
      <c r="C92" s="12"/>
    </row>
    <row r="93" spans="2:3" x14ac:dyDescent="0.25">
      <c r="B93" s="11" t="s">
        <v>31</v>
      </c>
      <c r="C93" s="12"/>
    </row>
    <row r="94" spans="2:3" x14ac:dyDescent="0.25">
      <c r="B94" s="11" t="s">
        <v>32</v>
      </c>
      <c r="C94" s="12"/>
    </row>
    <row r="95" spans="2:3" x14ac:dyDescent="0.25">
      <c r="B95" s="11" t="s">
        <v>33</v>
      </c>
      <c r="C95" s="12"/>
    </row>
    <row r="96" spans="2:3" x14ac:dyDescent="0.25">
      <c r="B96" s="11" t="s">
        <v>34</v>
      </c>
      <c r="C96" s="12"/>
    </row>
    <row r="97" spans="1:33" x14ac:dyDescent="0.25">
      <c r="B97" s="11" t="s">
        <v>35</v>
      </c>
      <c r="C97" s="12"/>
    </row>
    <row r="98" spans="1:33" x14ac:dyDescent="0.25">
      <c r="B98" s="11" t="s">
        <v>36</v>
      </c>
      <c r="C98" s="12"/>
    </row>
    <row r="99" spans="1:33" x14ac:dyDescent="0.25">
      <c r="A99" t="s">
        <v>42</v>
      </c>
      <c r="B99" s="12"/>
      <c r="C99" t="s">
        <v>55</v>
      </c>
    </row>
    <row r="100" spans="1:33" x14ac:dyDescent="0.25">
      <c r="A100" t="s">
        <v>50</v>
      </c>
      <c r="C100">
        <v>101</v>
      </c>
      <c r="D100">
        <v>102</v>
      </c>
      <c r="E100">
        <v>103</v>
      </c>
      <c r="F100">
        <v>104</v>
      </c>
      <c r="G100">
        <v>105</v>
      </c>
      <c r="H100">
        <v>106</v>
      </c>
      <c r="I100">
        <v>107</v>
      </c>
      <c r="J100">
        <v>108</v>
      </c>
      <c r="K100">
        <v>109</v>
      </c>
      <c r="L100">
        <v>110</v>
      </c>
      <c r="M100">
        <v>111</v>
      </c>
      <c r="N100">
        <v>112</v>
      </c>
      <c r="O100">
        <v>113</v>
      </c>
      <c r="P100">
        <v>114</v>
      </c>
      <c r="Q100">
        <v>115</v>
      </c>
      <c r="R100">
        <v>116</v>
      </c>
      <c r="S100">
        <v>117</v>
      </c>
      <c r="T100">
        <v>118</v>
      </c>
      <c r="U100">
        <v>119</v>
      </c>
      <c r="V100">
        <v>120</v>
      </c>
      <c r="W100">
        <v>121</v>
      </c>
      <c r="X100">
        <v>122</v>
      </c>
      <c r="Y100">
        <v>123</v>
      </c>
      <c r="Z100">
        <v>124</v>
      </c>
      <c r="AA100">
        <v>125</v>
      </c>
      <c r="AB100">
        <v>126</v>
      </c>
      <c r="AC100">
        <v>127</v>
      </c>
      <c r="AD100">
        <v>128</v>
      </c>
      <c r="AE100">
        <v>129</v>
      </c>
      <c r="AF100">
        <v>130</v>
      </c>
      <c r="AG100" t="s">
        <v>49</v>
      </c>
    </row>
    <row r="101" spans="1:33" x14ac:dyDescent="0.25">
      <c r="B101" s="11" t="s">
        <v>13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 x14ac:dyDescent="0.25">
      <c r="B102" s="11" t="s">
        <v>14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x14ac:dyDescent="0.25">
      <c r="B103" s="11" t="s">
        <v>15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 x14ac:dyDescent="0.25">
      <c r="B104" s="11" t="s">
        <v>16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 x14ac:dyDescent="0.25">
      <c r="B105" s="11" t="s">
        <v>17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 x14ac:dyDescent="0.25">
      <c r="B106" s="11" t="s">
        <v>18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x14ac:dyDescent="0.25">
      <c r="B107" s="11" t="s">
        <v>19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 x14ac:dyDescent="0.25">
      <c r="B108" s="11" t="s">
        <v>20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 x14ac:dyDescent="0.25">
      <c r="B109" s="11" t="s">
        <v>21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x14ac:dyDescent="0.25">
      <c r="B110" s="11" t="s">
        <v>22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x14ac:dyDescent="0.25">
      <c r="B111" s="11" t="s">
        <v>23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x14ac:dyDescent="0.25">
      <c r="B112" s="11" t="s">
        <v>24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2:33" x14ac:dyDescent="0.25">
      <c r="B113" s="11" t="s">
        <v>25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2:33" x14ac:dyDescent="0.25">
      <c r="B114" s="11" t="s">
        <v>26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2:33" x14ac:dyDescent="0.25">
      <c r="B115" s="11" t="s">
        <v>27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2:33" x14ac:dyDescent="0.25">
      <c r="B116" s="11" t="s">
        <v>28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2:33" x14ac:dyDescent="0.25">
      <c r="B117" s="11" t="s">
        <v>29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2:33" x14ac:dyDescent="0.25">
      <c r="B118" s="11" t="s">
        <v>30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2:33" x14ac:dyDescent="0.25">
      <c r="B119" s="11" t="s">
        <v>31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2:33" x14ac:dyDescent="0.25">
      <c r="B120" s="11" t="s">
        <v>32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2:33" x14ac:dyDescent="0.25">
      <c r="B121" s="11" t="s">
        <v>33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2:33" x14ac:dyDescent="0.25">
      <c r="B122" s="11" t="s">
        <v>34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2:33" x14ac:dyDescent="0.25">
      <c r="B123" s="11" t="s">
        <v>35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2:33" x14ac:dyDescent="0.25">
      <c r="B124" s="11" t="s">
        <v>36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</sheetData>
  <sheetProtection sheet="1" objects="1" scenarios="1"/>
  <mergeCells count="2">
    <mergeCell ref="A1:S1"/>
    <mergeCell ref="A2:S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FDCB-B1AA-4BAF-86FC-A892432085E1}">
  <dimension ref="A1:F42"/>
  <sheetViews>
    <sheetView workbookViewId="0">
      <selection activeCell="B27" sqref="B27"/>
    </sheetView>
  </sheetViews>
  <sheetFormatPr defaultRowHeight="15" x14ac:dyDescent="0.25"/>
  <cols>
    <col min="1" max="1" width="66.7109375" customWidth="1"/>
    <col min="2" max="2" width="38.140625" customWidth="1"/>
    <col min="3" max="3" width="33.42578125" customWidth="1"/>
  </cols>
  <sheetData>
    <row r="1" spans="1:6" x14ac:dyDescent="0.25">
      <c r="A1" s="13" t="s">
        <v>53</v>
      </c>
      <c r="B1" s="13"/>
      <c r="C1" s="13"/>
      <c r="D1" s="13"/>
      <c r="E1" s="13"/>
      <c r="F1" s="13"/>
    </row>
    <row r="2" spans="1:6" x14ac:dyDescent="0.25">
      <c r="A2" s="14" t="s">
        <v>66</v>
      </c>
      <c r="B2" s="14"/>
      <c r="C2" s="14"/>
      <c r="D2" s="14"/>
      <c r="E2" s="14"/>
      <c r="F2" s="14"/>
    </row>
    <row r="3" spans="1:6" x14ac:dyDescent="0.25">
      <c r="A3" s="1"/>
      <c r="B3" s="1"/>
      <c r="C3" s="1"/>
      <c r="D3" s="1"/>
      <c r="E3" s="1"/>
      <c r="F3" s="1"/>
    </row>
    <row r="4" spans="1:6" ht="15.75" x14ac:dyDescent="0.25">
      <c r="A4" s="3" t="s">
        <v>70</v>
      </c>
    </row>
    <row r="5" spans="1:6" x14ac:dyDescent="0.25">
      <c r="A5" s="5" t="s">
        <v>67</v>
      </c>
      <c r="B5" s="5" t="s">
        <v>68</v>
      </c>
      <c r="C5" s="5" t="s">
        <v>69</v>
      </c>
    </row>
    <row r="6" spans="1:6" x14ac:dyDescent="0.25">
      <c r="A6" s="4" t="s">
        <v>71</v>
      </c>
      <c r="B6" s="4" t="s">
        <v>72</v>
      </c>
      <c r="C6" s="7" t="str">
        <f>IF(OR(Протокол!B10="",Протокол!B7="",Протокол!B9=""),"",IF(Протокол!B10&lt;=(Протокол!B7+Протокол!B9),"OK","Грешка"))</f>
        <v/>
      </c>
    </row>
    <row r="7" spans="1:6" x14ac:dyDescent="0.25">
      <c r="A7" s="4" t="s">
        <v>73</v>
      </c>
      <c r="B7" s="4" t="s">
        <v>74</v>
      </c>
      <c r="C7" s="7" t="str">
        <f>IF(OR(Протокол!B10="",Протокол!B17="",Протокол!B72=""),"",IF(Протокол!B10=(Протокол!B17+Протокол!B72),"OK","Грешка"))</f>
        <v/>
      </c>
    </row>
    <row r="8" spans="1:6" x14ac:dyDescent="0.25">
      <c r="A8" s="4"/>
      <c r="B8" s="10"/>
      <c r="C8" s="9"/>
    </row>
    <row r="9" spans="1:6" ht="15.75" x14ac:dyDescent="0.25">
      <c r="A9" s="6" t="s">
        <v>75</v>
      </c>
      <c r="B9" s="10"/>
      <c r="C9" s="9"/>
    </row>
    <row r="10" spans="1:6" x14ac:dyDescent="0.25">
      <c r="A10" s="4" t="s">
        <v>76</v>
      </c>
      <c r="B10" s="4" t="s">
        <v>77</v>
      </c>
      <c r="C10" s="7" t="str">
        <f>IF(OR(Протокол!B6="",Протокол!B12="",Протокол!B13="",Протокол!B17=""),"",IF(Протокол!B6=(Протокол!B12+Протокол!B13+Протокол!B17),"OK","Грешка"))</f>
        <v/>
      </c>
    </row>
    <row r="11" spans="1:6" x14ac:dyDescent="0.25">
      <c r="A11" s="4" t="s">
        <v>78</v>
      </c>
      <c r="B11" s="4" t="s">
        <v>79</v>
      </c>
      <c r="C11" s="7" t="str">
        <f>IF(OR(Протокол!B17="",Протокол!B18="",Протокол!B19="",Протокол!B45=""),"",IF(Протокол!B17=(Протокол!B18+Протокол!B19+Протокол!B45),"OK","Грешка"))</f>
        <v/>
      </c>
    </row>
    <row r="12" spans="1:6" x14ac:dyDescent="0.25">
      <c r="A12" s="4"/>
      <c r="B12" s="10"/>
      <c r="C12" s="9"/>
    </row>
    <row r="13" spans="1:6" ht="15.75" x14ac:dyDescent="0.25">
      <c r="A13" s="6" t="s">
        <v>80</v>
      </c>
      <c r="B13" s="10"/>
      <c r="C13" s="9"/>
    </row>
    <row r="14" spans="1:6" x14ac:dyDescent="0.25">
      <c r="A14" s="4" t="s">
        <v>81</v>
      </c>
      <c r="B14" s="4" t="s">
        <v>82</v>
      </c>
      <c r="C14" s="7" t="str">
        <f>IF(OR(Протокол!B45="",SUM(Протокол!C21:C44)=0),"",IF(Протокол!B45=SUM(Протокол!C21:C44),"OK","Грешка"))</f>
        <v/>
      </c>
    </row>
    <row r="15" spans="1:6" x14ac:dyDescent="0.25">
      <c r="A15" s="4" t="s">
        <v>92</v>
      </c>
      <c r="B15" s="4" t="s">
        <v>83</v>
      </c>
      <c r="C15" s="7" t="str" cm="1">
        <f t="array" ref="C15">_xlfn.LET(_xlpm.votes,Протокол!C21:C44,_xlpm.prefs,Протокол!C47:AG70,_xlpm.hasData,COUNTA(_xlpm.votes)&gt;0,IF(_xlpm.hasData,IF(SUM(ABS(_xlpm.votes-_xlfn.BYROW(_xlpm.prefs,_xlfn.LAMBDA(_xlpm.r,SUM(_xlpm.r)))))=0,"OK","Грешка"),""))</f>
        <v/>
      </c>
    </row>
    <row r="16" spans="1:6" x14ac:dyDescent="0.25">
      <c r="A16" s="4"/>
      <c r="B16" s="10"/>
      <c r="C16" s="9"/>
    </row>
    <row r="17" spans="1:3" ht="15.75" x14ac:dyDescent="0.25">
      <c r="A17" s="6" t="s">
        <v>84</v>
      </c>
      <c r="B17" s="10"/>
      <c r="C17" s="9"/>
    </row>
    <row r="18" spans="1:3" x14ac:dyDescent="0.25">
      <c r="A18" s="4" t="s">
        <v>85</v>
      </c>
      <c r="B18" s="4" t="s">
        <v>86</v>
      </c>
      <c r="C18" s="7" t="str">
        <f>IF(OR(Протокол!B72="",Протокол!B73="",Протокол!B99=""),"",IF(Протокол!B72=(Протокол!B73+Протокол!B99),"OK","Грешка"))</f>
        <v/>
      </c>
    </row>
    <row r="19" spans="1:3" x14ac:dyDescent="0.25">
      <c r="A19" s="4" t="s">
        <v>87</v>
      </c>
      <c r="B19" s="4" t="s">
        <v>88</v>
      </c>
      <c r="C19" s="7" t="str">
        <f>IF(OR(Протокол!B99="",SUM(Протокол!C75:C98)=0),"",IF(Протокол!B99=SUM(Протокол!C75:C98),"OK","Грешка"))</f>
        <v/>
      </c>
    </row>
    <row r="20" spans="1:3" x14ac:dyDescent="0.25">
      <c r="A20" s="4"/>
      <c r="B20" s="10"/>
      <c r="C20" s="9"/>
    </row>
    <row r="21" spans="1:3" ht="15.75" x14ac:dyDescent="0.25">
      <c r="A21" s="6" t="s">
        <v>89</v>
      </c>
      <c r="B21" s="10"/>
      <c r="C21" s="9"/>
    </row>
    <row r="22" spans="1:3" x14ac:dyDescent="0.25">
      <c r="A22" s="4" t="s">
        <v>90</v>
      </c>
      <c r="B22" s="4" t="s">
        <v>91</v>
      </c>
      <c r="C22" s="7" t="str" cm="1">
        <f t="array" ref="C22">_xlfn.LET(_xlpm.votes,Протокол!C75:C98,_xlpm.prefs,Протокол!C101:AG124,_xlpm.hasData,COUNTA(_xlpm.votes)&gt;0,IF(_xlpm.hasData,IF(SUM(ABS(_xlpm.votes-_xlfn.BYROW(_xlpm.prefs,_xlfn.LAMBDA(_xlpm.r,SUM(_xlpm.r)))))=0,"OK","Грешка"),""))</f>
        <v/>
      </c>
    </row>
    <row r="24" spans="1:3" x14ac:dyDescent="0.25">
      <c r="A24" s="1" t="s">
        <v>93</v>
      </c>
    </row>
    <row r="25" spans="1:3" x14ac:dyDescent="0.25">
      <c r="A25" s="8" t="s">
        <v>94</v>
      </c>
      <c r="B25" s="8" t="s">
        <v>95</v>
      </c>
      <c r="C25" s="8" t="s">
        <v>96</v>
      </c>
    </row>
    <row r="26" spans="1:3" x14ac:dyDescent="0.25">
      <c r="A26" s="4" t="s">
        <v>0</v>
      </c>
      <c r="B26" s="4" t="s">
        <v>97</v>
      </c>
      <c r="C26" s="4" t="s">
        <v>43</v>
      </c>
    </row>
    <row r="27" spans="1:3" x14ac:dyDescent="0.25">
      <c r="A27" s="4" t="s">
        <v>1</v>
      </c>
      <c r="B27" s="4" t="s">
        <v>98</v>
      </c>
      <c r="C27" s="4" t="s">
        <v>99</v>
      </c>
    </row>
    <row r="28" spans="1:3" x14ac:dyDescent="0.25">
      <c r="A28" s="4" t="s">
        <v>4</v>
      </c>
      <c r="B28" s="4" t="s">
        <v>100</v>
      </c>
      <c r="C28" s="4" t="s">
        <v>101</v>
      </c>
    </row>
    <row r="29" spans="1:3" x14ac:dyDescent="0.25">
      <c r="A29" s="4" t="s">
        <v>5</v>
      </c>
      <c r="B29" s="4" t="s">
        <v>102</v>
      </c>
      <c r="C29" s="4" t="s">
        <v>103</v>
      </c>
    </row>
    <row r="30" spans="1:3" x14ac:dyDescent="0.25">
      <c r="A30" s="4" t="s">
        <v>6</v>
      </c>
      <c r="B30" s="4" t="s">
        <v>104</v>
      </c>
      <c r="C30" s="4" t="s">
        <v>105</v>
      </c>
    </row>
    <row r="31" spans="1:3" x14ac:dyDescent="0.25">
      <c r="A31" s="4" t="s">
        <v>7</v>
      </c>
      <c r="B31" s="4" t="s">
        <v>106</v>
      </c>
      <c r="C31" s="4" t="s">
        <v>107</v>
      </c>
    </row>
    <row r="32" spans="1:3" x14ac:dyDescent="0.25">
      <c r="A32" s="4" t="s">
        <v>8</v>
      </c>
      <c r="B32" s="4" t="s">
        <v>108</v>
      </c>
      <c r="C32" s="4" t="s">
        <v>48</v>
      </c>
    </row>
    <row r="33" spans="1:3" x14ac:dyDescent="0.25">
      <c r="A33" s="4" t="s">
        <v>9</v>
      </c>
      <c r="B33" s="4" t="s">
        <v>109</v>
      </c>
      <c r="C33" s="4" t="s">
        <v>110</v>
      </c>
    </row>
    <row r="34" spans="1:3" x14ac:dyDescent="0.25">
      <c r="A34" s="4" t="s">
        <v>10</v>
      </c>
      <c r="B34" s="4" t="s">
        <v>111</v>
      </c>
      <c r="C34" s="4" t="s">
        <v>112</v>
      </c>
    </row>
    <row r="35" spans="1:3" x14ac:dyDescent="0.25">
      <c r="A35" s="4" t="s">
        <v>11</v>
      </c>
      <c r="B35" s="4" t="s">
        <v>113</v>
      </c>
      <c r="C35" s="4" t="s">
        <v>114</v>
      </c>
    </row>
    <row r="36" spans="1:3" x14ac:dyDescent="0.25">
      <c r="A36" s="4" t="s">
        <v>12</v>
      </c>
      <c r="B36" s="4" t="s">
        <v>115</v>
      </c>
      <c r="C36" s="4" t="s">
        <v>116</v>
      </c>
    </row>
    <row r="37" spans="1:3" x14ac:dyDescent="0.25">
      <c r="A37" s="4" t="s">
        <v>117</v>
      </c>
      <c r="B37" s="4" t="s">
        <v>118</v>
      </c>
      <c r="C37" s="4" t="s">
        <v>119</v>
      </c>
    </row>
    <row r="38" spans="1:3" x14ac:dyDescent="0.25">
      <c r="A38" s="4" t="s">
        <v>37</v>
      </c>
      <c r="B38" s="4" t="s">
        <v>120</v>
      </c>
      <c r="C38" s="4" t="s">
        <v>121</v>
      </c>
    </row>
    <row r="39" spans="1:3" x14ac:dyDescent="0.25">
      <c r="A39" s="4" t="s">
        <v>38</v>
      </c>
      <c r="B39" s="4" t="s">
        <v>122</v>
      </c>
      <c r="C39" s="4" t="s">
        <v>123</v>
      </c>
    </row>
    <row r="40" spans="1:3" x14ac:dyDescent="0.25">
      <c r="A40" s="4" t="s">
        <v>41</v>
      </c>
      <c r="B40" s="4" t="s">
        <v>124</v>
      </c>
      <c r="C40" s="4" t="s">
        <v>125</v>
      </c>
    </row>
    <row r="41" spans="1:3" x14ac:dyDescent="0.25">
      <c r="A41" s="4" t="s">
        <v>42</v>
      </c>
      <c r="B41" s="4" t="s">
        <v>126</v>
      </c>
      <c r="C41" s="4" t="s">
        <v>127</v>
      </c>
    </row>
    <row r="42" spans="1:3" x14ac:dyDescent="0.25">
      <c r="A42" s="4" t="s">
        <v>128</v>
      </c>
      <c r="B42" s="4" t="s">
        <v>129</v>
      </c>
      <c r="C42" s="4" t="s">
        <v>130</v>
      </c>
    </row>
  </sheetData>
  <mergeCells count="2">
    <mergeCell ref="A1:F1"/>
    <mergeCell ref="A2:F2"/>
  </mergeCells>
  <conditionalFormatting sqref="C6:C22">
    <cfRule type="containsText" dxfId="1" priority="1" operator="containsText" text="OK">
      <formula>NOT(ISERROR(SEARCH("OK",C6)))</formula>
    </cfRule>
    <cfRule type="containsText" dxfId="0" priority="2" operator="containsText" text="Грешка">
      <formula>NOT(ISERROR(SEARCH("Грешка",C6)))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Протокол</vt:lpstr>
      <vt:lpstr>Проверки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 Jeliaskoff</dc:creator>
  <cp:lastModifiedBy>Miro Jeliaskoff</cp:lastModifiedBy>
  <dcterms:created xsi:type="dcterms:W3CDTF">2026-04-12T16:29:26Z</dcterms:created>
  <dcterms:modified xsi:type="dcterms:W3CDTF">2026-04-17T09:30:14Z</dcterms:modified>
</cp:coreProperties>
</file>